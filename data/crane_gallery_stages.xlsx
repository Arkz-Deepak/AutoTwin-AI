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603b3313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ne Gallery" sheetId="1" r:id="Ra27e2a4bbf0b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19bb945894768" /><Relationship Type="http://schemas.openxmlformats.org/officeDocument/2006/relationships/theme" Target="/xl/theme/theme1.xml" Id="Rf4d5c35c52a04aa6" /><Relationship Type="http://schemas.openxmlformats.org/officeDocument/2006/relationships/sharedStrings" Target="/xl/sharedStrings.xml" Id="R7599c23796fd4ae3" /><Relationship Type="http://schemas.openxmlformats.org/officeDocument/2006/relationships/worksheet" Target="/xl/worksheets/sheet1.xml" Id="Ra27e2a4bbf0b41b5" /></Relationships>
</file>

<file path=xl/tables/table1.xml><?xml version="1.0" encoding="utf-8"?>
<x:table xmlns:x="http://schemas.openxmlformats.org/spreadsheetml/2006/main" id="1" name="CraneGalleryStages" displayName="CraneGalleryStages" ref="A1:K29" headerRowCount="1">
  <x:tableColumns count="11">
    <x:tableColumn id="1" name="Seq"/>
    <x:tableColumn id="2" name="Section"/>
    <x:tableColumn id="3" name="Stage / Activity"/>
    <x:tableColumn id="4" name="Start of Process"/>
    <x:tableColumn id="5" name="End of Process"/>
    <x:tableColumn id="6" name="Total Time (Cycle Time, min)"/>
    <x:tableColumn id="7" name="Man Power"/>
    <x:tableColumn id="8" name="Man Hours"/>
    <x:tableColumn id="9" name="Takt Time (min)"/>
    <x:tableColumn id="10" name="Variance vs Takt"/>
    <x:tableColumn id="11" name="Tracking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9c8c6fb4c4a4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3" max="13" width="26" hidden="0" customWidth="1"/>
    <x:col min="14" max="14" width="28" hidden="0" customWidth="1"/>
  </x:cols>
  <x:sheetData>
    <x:row r="1" ht="26.399999618530273" hidden="0" customHeight="1">
      <x:c r="A1" s="6" t="str">
        <x:v>Seq</x:v>
      </x:c>
      <x:c r="B1" s="6" t="str">
        <x:v>Section</x:v>
      </x:c>
      <x:c r="C1" s="6" t="str">
        <x:v>Stage / Activity</x:v>
      </x:c>
      <x:c r="D1" s="6" t="str">
        <x:v>Start of Process</x:v>
      </x:c>
      <x:c r="E1" s="6" t="str">
        <x:v>End of Process</x:v>
      </x:c>
      <x:c r="F1" s="6" t="str">
        <x:v>Total Time (Cycle Time, min)</x:v>
      </x:c>
      <x:c r="G1" s="6" t="str">
        <x:v>Man Power</x:v>
      </x:c>
      <x:c r="H1" s="6" t="str">
        <x:v>Man Hours</x:v>
      </x:c>
      <x:c r="I1" s="6" t="str">
        <x:v>Takt Time (min)</x:v>
      </x:c>
      <x:c r="J1" s="6" t="str">
        <x:v>Variance vs Takt</x:v>
      </x:c>
      <x:c r="K1" s="6" t="str">
        <x:v>Tracking Status</x:v>
      </x:c>
      <x:c r="M1" s="24" t="str">
        <x:v>Source</x:v>
      </x:c>
      <x:c r="N1" s="24" t="str">
        <x:v>Cycle Time vs Takt Time chart from the uploaded photo</x:v>
      </x:c>
    </x:row>
    <x:row r="2" ht="26.399999618530273" hidden="0" customHeight="1">
      <x:c r="A2" s="13" t="n">
        <x:v>1</x:v>
      </x:c>
      <x:c r="B2" s="13" t="str">
        <x:v>TAPER PLATE &amp; MODULE</x:v>
      </x:c>
      <x:c r="C2" s="13" t="str">
        <x:v>Taper plate fit-up (Fitter)</x:v>
      </x:c>
      <x:c r="D2" s="13" t="str"/>
      <x:c r="E2" s="13" t="str"/>
      <x:c r="F2" s="16" t="n">
        <x:v>20</x:v>
      </x:c>
      <x:c r="G2" s="18" t="n">
        <x:v>1</x:v>
      </x:c>
      <x:c r="H2" s="16" t="n">
        <x:v>0.3</x:v>
      </x:c>
      <x:c r="I2" s="18" t="n">
        <x:v>227</x:v>
      </x:c>
      <x:c r="J2" s="16" t="n">
        <x:f>F2-I2</x:f>
        <x:v>-207</x:v>
      </x:c>
      <x:c r="K2" s="13" t="str">
        <x:f>IF(F2&lt;=I2,"Within takt","Above takt")</x:f>
        <x:v>Within takt</x:v>
      </x:c>
      <x:c r="M2" s="12" t="str">
        <x:v>Asking rate / Month</x:v>
      </x:c>
      <x:c r="N2" s="12" t="n">
        <x:v>132</x:v>
      </x:c>
    </x:row>
    <x:row r="3" ht="26.399999618530273" hidden="0" customHeight="1">
      <x:c r="A3" s="13" t="n">
        <x:v>2</x:v>
      </x:c>
      <x:c r="B3" s="13" t="str">
        <x:v>TAPER PLATE &amp; MODULE</x:v>
      </x:c>
      <x:c r="C3" s="13" t="str">
        <x:v>Taper plate welding (Welder)</x:v>
      </x:c>
      <x:c r="D3" s="13" t="str"/>
      <x:c r="E3" s="13" t="str"/>
      <x:c r="F3" s="16" t="n">
        <x:v>22</x:v>
      </x:c>
      <x:c r="G3" s="18" t="n">
        <x:v>1</x:v>
      </x:c>
      <x:c r="H3" s="16" t="n">
        <x:v>0.4</x:v>
      </x:c>
      <x:c r="I3" s="18" t="n">
        <x:v>227</x:v>
      </x:c>
      <x:c r="J3" s="16" t="n">
        <x:f>F3-I3</x:f>
        <x:v>-205</x:v>
      </x:c>
      <x:c r="K3" s="13" t="str">
        <x:f>IF(F3&lt;=I3,"Within takt","Above takt")</x:f>
        <x:v>Within takt</x:v>
      </x:c>
      <x:c r="M3" s="12" t="str">
        <x:v>Takt time per no (min)</x:v>
      </x:c>
      <x:c r="N3" s="12" t="n">
        <x:v>227</x:v>
      </x:c>
    </x:row>
    <x:row r="4" ht="26.399999618530273" hidden="0" customHeight="1">
      <x:c r="A4" s="13" t="n">
        <x:v>3</x:v>
      </x:c>
      <x:c r="B4" s="13" t="str">
        <x:v>TAPER PLATE &amp; MODULE</x:v>
      </x:c>
      <x:c r="C4" s="13" t="str">
        <x:v>Module fit-up (Fitter)</x:v>
      </x:c>
      <x:c r="D4" s="13" t="str"/>
      <x:c r="E4" s="13" t="str"/>
      <x:c r="F4" s="16" t="n">
        <x:v>38</x:v>
      </x:c>
      <x:c r="G4" s="18" t="n">
        <x:v>1</x:v>
      </x:c>
      <x:c r="H4" s="16" t="n">
        <x:v>0.6</x:v>
      </x:c>
      <x:c r="I4" s="18" t="n">
        <x:v>227</x:v>
      </x:c>
      <x:c r="J4" s="16" t="n">
        <x:f>F4-I4</x:f>
        <x:v>-189</x:v>
      </x:c>
      <x:c r="K4" s="13" t="str">
        <x:f>IF(F4&lt;=I4,"Within takt","Above takt")</x:f>
        <x:v>Within takt</x:v>
      </x:c>
      <x:c r="M4" s="12" t="str">
        <x:v>Total MHRS / side</x:v>
      </x:c>
      <x:c r="N4" s="12" t="str">
        <x:v>101 / side (3 nos)</x:v>
      </x:c>
    </x:row>
    <x:row r="5" ht="15" hidden="0" customHeight="1">
      <x:c r="A5" s="13" t="n">
        <x:v>4</x:v>
      </x:c>
      <x:c r="B5" s="13" t="str">
        <x:v>I-BEAM</x:v>
      </x:c>
      <x:c r="C5" s="13" t="str">
        <x:v>I Beam fit-up (Fitter)</x:v>
      </x:c>
      <x:c r="D5" s="13" t="str"/>
      <x:c r="E5" s="13" t="str"/>
      <x:c r="F5" s="16" t="n">
        <x:v>180</x:v>
      </x:c>
      <x:c r="G5" s="18" t="n">
        <x:v>1</x:v>
      </x:c>
      <x:c r="H5" s="16" t="n">
        <x:v>3</x:v>
      </x:c>
      <x:c r="I5" s="18" t="n">
        <x:v>227</x:v>
      </x:c>
      <x:c r="J5" s="16" t="n">
        <x:f>F5-I5</x:f>
        <x:v>-47</x:v>
      </x:c>
      <x:c r="K5" s="13" t="str">
        <x:f>IF(F5&lt;=I5,"Within takt","Above takt")</x:f>
        <x:v>Within takt</x:v>
      </x:c>
      <x:c r="M5" s="12" t="str">
        <x:v>Use</x:v>
      </x:c>
      <x:c r="N5" s="12" t="str">
        <x:v>Fill Start/End with actual times during execution</x:v>
      </x:c>
    </x:row>
    <x:row r="6" ht="15" hidden="0" customHeight="1">
      <x:c r="A6" s="13" t="n">
        <x:v>5</x:v>
      </x:c>
      <x:c r="B6" s="13" t="str">
        <x:v>I-BEAM</x:v>
      </x:c>
      <x:c r="C6" s="13" t="str">
        <x:v>I Beam UT &amp; Cleaning (Grinder)</x:v>
      </x:c>
      <x:c r="D6" s="13" t="str"/>
      <x:c r="E6" s="13" t="str"/>
      <x:c r="F6" s="16" t="n">
        <x:v>200</x:v>
      </x:c>
      <x:c r="G6" s="18" t="n">
        <x:v>1</x:v>
      </x:c>
      <x:c r="H6" s="16" t="n">
        <x:v>3.3</x:v>
      </x:c>
      <x:c r="I6" s="18" t="n">
        <x:v>227</x:v>
      </x:c>
      <x:c r="J6" s="16" t="n">
        <x:f>F6-I6</x:f>
        <x:v>-27</x:v>
      </x:c>
      <x:c r="K6" s="13" t="str">
        <x:f>IF(F6&lt;=I6,"Within takt","Above takt")</x:f>
        <x:v>Within takt</x:v>
      </x:c>
      <x:c r="M6" s="12" t="str">
        <x:v>Tracking</x:v>
      </x:c>
      <x:c r="N6" s="12" t="str">
        <x:v>Status auto-calculates from cycle time vs takt time</x:v>
      </x:c>
    </x:row>
    <x:row r="7" ht="15" hidden="0" customHeight="1">
      <x:c r="A7" s="13" t="n">
        <x:v>6</x:v>
      </x:c>
      <x:c r="B7" s="13" t="str">
        <x:v>NODE</x:v>
      </x:c>
      <x:c r="C7" s="13" t="str">
        <x:v>Node 1st stage fit-up (Fitter)</x:v>
      </x:c>
      <x:c r="D7" s="13" t="str"/>
      <x:c r="E7" s="13" t="str"/>
      <x:c r="F7" s="16" t="n">
        <x:v>39</x:v>
      </x:c>
      <x:c r="G7" s="18" t="n">
        <x:v>1</x:v>
      </x:c>
      <x:c r="H7" s="16" t="n">
        <x:v>0.7</x:v>
      </x:c>
      <x:c r="I7" s="18" t="n">
        <x:v>227</x:v>
      </x:c>
      <x:c r="J7" s="16" t="n">
        <x:f>F7-I7</x:f>
        <x:v>-188</x:v>
      </x:c>
      <x:c r="K7" s="13" t="str">
        <x:f>IF(F7&lt;=I7,"Within takt","Above takt")</x:f>
        <x:v>Within takt</x:v>
      </x:c>
    </x:row>
    <x:row r="8" ht="15" hidden="0" customHeight="1">
      <x:c r="A8" s="13" t="n">
        <x:v>7</x:v>
      </x:c>
      <x:c r="B8" s="13" t="str">
        <x:v>NODE</x:v>
      </x:c>
      <x:c r="C8" s="13" t="str">
        <x:v>UT inspection</x:v>
      </x:c>
      <x:c r="D8" s="13" t="str"/>
      <x:c r="E8" s="13" t="str"/>
      <x:c r="F8" s="16" t="n">
        <x:v>22</x:v>
      </x:c>
      <x:c r="G8" s="18" t="n">
        <x:v>1</x:v>
      </x:c>
      <x:c r="H8" s="16" t="n">
        <x:v>0.4</x:v>
      </x:c>
      <x:c r="I8" s="18" t="n">
        <x:v>227</x:v>
      </x:c>
      <x:c r="J8" s="16" t="n">
        <x:f>F8-I8</x:f>
        <x:v>-205</x:v>
      </x:c>
      <x:c r="K8" s="13" t="str">
        <x:f>IF(F8&lt;=I8,"Within takt","Above takt")</x:f>
        <x:v>Within takt</x:v>
      </x:c>
    </x:row>
    <x:row r="9" ht="15" hidden="0" customHeight="1">
      <x:c r="A9" s="13" t="n">
        <x:v>8</x:v>
      </x:c>
      <x:c r="B9" s="13" t="str">
        <x:v>NODE</x:v>
      </x:c>
      <x:c r="C9" s="13" t="str">
        <x:v>Node 2nd stage fit-up (Fitter)</x:v>
      </x:c>
      <x:c r="D9" s="13" t="str"/>
      <x:c r="E9" s="13" t="str"/>
      <x:c r="F9" s="16" t="n">
        <x:v>30</x:v>
      </x:c>
      <x:c r="G9" s="18" t="n">
        <x:v>1</x:v>
      </x:c>
      <x:c r="H9" s="16" t="n">
        <x:v>0.5</x:v>
      </x:c>
      <x:c r="I9" s="18" t="n">
        <x:v>227</x:v>
      </x:c>
      <x:c r="J9" s="16" t="n">
        <x:f>F9-I9</x:f>
        <x:v>-197</x:v>
      </x:c>
      <x:c r="K9" s="13" t="str">
        <x:f>IF(F9&lt;=I9,"Within takt","Above takt")</x:f>
        <x:v>Within takt</x:v>
      </x:c>
    </x:row>
    <x:row r="10" ht="15" hidden="0" customHeight="1">
      <x:c r="A10" s="13" t="n">
        <x:v>9</x:v>
      </x:c>
      <x:c r="B10" s="13" t="str">
        <x:v>NODE</x:v>
      </x:c>
      <x:c r="C10" s="13" t="str">
        <x:v>UT inspection &amp; Cleaning (Grinder)</x:v>
      </x:c>
      <x:c r="D10" s="13" t="str"/>
      <x:c r="E10" s="13" t="str"/>
      <x:c r="F10" s="16" t="n">
        <x:v>120</x:v>
      </x:c>
      <x:c r="G10" s="18" t="n">
        <x:v>1</x:v>
      </x:c>
      <x:c r="H10" s="16" t="n">
        <x:v>2</x:v>
      </x:c>
      <x:c r="I10" s="18" t="n">
        <x:v>227</x:v>
      </x:c>
      <x:c r="J10" s="16" t="n">
        <x:f>F10-I10</x:f>
        <x:v>-107</x:v>
      </x:c>
      <x:c r="K10" s="13" t="str">
        <x:f>IF(F10&lt;=I10,"Within takt","Above takt")</x:f>
        <x:v>Within takt</x:v>
      </x:c>
    </x:row>
    <x:row r="11" ht="15" hidden="0" customHeight="1">
      <x:c r="A11" s="13" t="n">
        <x:v>10</x:v>
      </x:c>
      <x:c r="B11" s="13" t="str">
        <x:v>TUBE</x:v>
      </x:c>
      <x:c r="C11" s="13" t="str">
        <x:v>Tube fit-up (Fitter)</x:v>
      </x:c>
      <x:c r="D11" s="13" t="str"/>
      <x:c r="E11" s="13" t="str"/>
      <x:c r="F11" s="16" t="n">
        <x:v>25</x:v>
      </x:c>
      <x:c r="G11" s="18" t="n">
        <x:v>1</x:v>
      </x:c>
      <x:c r="H11" s="16" t="n">
        <x:v>0.4</x:v>
      </x:c>
      <x:c r="I11" s="18" t="n">
        <x:v>227</x:v>
      </x:c>
      <x:c r="J11" s="16" t="n">
        <x:f>F11-I11</x:f>
        <x:v>-202</x:v>
      </x:c>
      <x:c r="K11" s="13" t="str">
        <x:f>IF(F11&lt;=I11,"Within takt","Above takt")</x:f>
        <x:v>Within takt</x:v>
      </x:c>
    </x:row>
    <x:row r="12" ht="15" hidden="0" customHeight="1">
      <x:c r="A12" s="13" t="n">
        <x:v>11</x:v>
      </x:c>
      <x:c r="B12" s="13" t="str">
        <x:v>TUBE</x:v>
      </x:c>
      <x:c r="C12" s="13" t="str">
        <x:v>Tube welding (Welder)</x:v>
      </x:c>
      <x:c r="D12" s="13" t="str"/>
      <x:c r="E12" s="13" t="str"/>
      <x:c r="F12" s="16" t="n">
        <x:v>36</x:v>
      </x:c>
      <x:c r="G12" s="18" t="n">
        <x:v>1</x:v>
      </x:c>
      <x:c r="H12" s="16" t="n">
        <x:v>0.6</x:v>
      </x:c>
      <x:c r="I12" s="18" t="n">
        <x:v>227</x:v>
      </x:c>
      <x:c r="J12" s="16" t="n">
        <x:f>F12-I12</x:f>
        <x:v>-191</x:v>
      </x:c>
      <x:c r="K12" s="13" t="str">
        <x:f>IF(F12&lt;=I12,"Within takt","Above takt")</x:f>
        <x:v>Within takt</x:v>
      </x:c>
    </x:row>
    <x:row r="13" ht="15" hidden="0" customHeight="1">
      <x:c r="A13" s="13" t="n">
        <x:v>12</x:v>
      </x:c>
      <x:c r="B13" s="13" t="str">
        <x:v>TUBE</x:v>
      </x:c>
      <x:c r="C13" s="13" t="str">
        <x:v>UT inspection</x:v>
      </x:c>
      <x:c r="D13" s="13" t="str"/>
      <x:c r="E13" s="13" t="str"/>
      <x:c r="F13" s="16" t="n">
        <x:v>19</x:v>
      </x:c>
      <x:c r="G13" s="18" t="n">
        <x:v>1</x:v>
      </x:c>
      <x:c r="H13" s="16" t="n">
        <x:v>0.3</x:v>
      </x:c>
      <x:c r="I13" s="18" t="n">
        <x:v>227</x:v>
      </x:c>
      <x:c r="J13" s="16" t="n">
        <x:f>F13-I13</x:f>
        <x:v>-208</x:v>
      </x:c>
      <x:c r="K13" s="13" t="str">
        <x:f>IF(F13&lt;=I13,"Within takt","Above takt")</x:f>
        <x:v>Within takt</x:v>
      </x:c>
    </x:row>
    <x:row r="14" ht="15" hidden="0" customHeight="1">
      <x:c r="A14" s="13" t="n">
        <x:v>13</x:v>
      </x:c>
      <x:c r="B14" s="13" t="str">
        <x:v>TUBE</x:v>
      </x:c>
      <x:c r="C14" s="13" t="str">
        <x:v>I Beam bend removal (Fitter)</x:v>
      </x:c>
      <x:c r="D14" s="13" t="str"/>
      <x:c r="E14" s="13" t="str"/>
      <x:c r="F14" s="16" t="n">
        <x:v>59</x:v>
      </x:c>
      <x:c r="G14" s="18" t="n">
        <x:v>3</x:v>
      </x:c>
      <x:c r="H14" s="16" t="n">
        <x:v>2.9</x:v>
      </x:c>
      <x:c r="I14" s="18" t="n">
        <x:v>227</x:v>
      </x:c>
      <x:c r="J14" s="16" t="n">
        <x:f>F14-I14</x:f>
        <x:v>-168</x:v>
      </x:c>
      <x:c r="K14" s="13" t="str">
        <x:f>IF(F14&lt;=I14,"Within takt","Above takt")</x:f>
        <x:v>Within takt</x:v>
      </x:c>
    </x:row>
    <x:row r="15" ht="15" hidden="0" customHeight="1">
      <x:c r="A15" s="13" t="n">
        <x:v>14</x:v>
      </x:c>
      <x:c r="B15" s="13" t="str">
        <x:v>ASSEMBLY</x:v>
      </x:c>
      <x:c r="C15" s="13" t="str">
        <x:v>Assy fitup 1st Stage (Fitter)</x:v>
      </x:c>
      <x:c r="D15" s="13" t="str"/>
      <x:c r="E15" s="13" t="str"/>
      <x:c r="F15" s="16" t="n">
        <x:v>80</x:v>
      </x:c>
      <x:c r="G15" s="18" t="n">
        <x:v>3</x:v>
      </x:c>
      <x:c r="H15" s="16" t="n">
        <x:v>4</x:v>
      </x:c>
      <x:c r="I15" s="18" t="n">
        <x:v>227</x:v>
      </x:c>
      <x:c r="J15" s="16" t="n">
        <x:f>F15-I15</x:f>
        <x:v>-147</x:v>
      </x:c>
      <x:c r="K15" s="13" t="str">
        <x:f>IF(F15&lt;=I15,"Within takt","Above takt")</x:f>
        <x:v>Within takt</x:v>
      </x:c>
    </x:row>
    <x:row r="16" ht="15" hidden="0" customHeight="1">
      <x:c r="A16" s="13" t="n">
        <x:v>15</x:v>
      </x:c>
      <x:c r="B16" s="13" t="str">
        <x:v>ASSEMBLY</x:v>
      </x:c>
      <x:c r="C16" s="13" t="str">
        <x:v>Assy welding (Welder)</x:v>
      </x:c>
      <x:c r="D16" s="13" t="str"/>
      <x:c r="E16" s="13" t="str"/>
      <x:c r="F16" s="16" t="n">
        <x:v>208</x:v>
      </x:c>
      <x:c r="G16" s="18" t="n">
        <x:v>3</x:v>
      </x:c>
      <x:c r="H16" s="16" t="n">
        <x:v>10.4</x:v>
      </x:c>
      <x:c r="I16" s="18" t="n">
        <x:v>227</x:v>
      </x:c>
      <x:c r="J16" s="16" t="n">
        <x:f>F16-I16</x:f>
        <x:v>-19</x:v>
      </x:c>
      <x:c r="K16" s="13" t="str">
        <x:f>IF(F16&lt;=I16,"Within takt","Above takt")</x:f>
        <x:v>Within takt</x:v>
      </x:c>
    </x:row>
    <x:row r="17" ht="15" hidden="0" customHeight="1">
      <x:c r="A17" s="13" t="n">
        <x:v>16</x:v>
      </x:c>
      <x:c r="B17" s="13" t="str">
        <x:v>ASSEMBLY</x:v>
      </x:c>
      <x:c r="C17" s="13" t="str">
        <x:v>Assy fitup -stage 2 (Bush &amp; CP) (Fitter)</x:v>
      </x:c>
      <x:c r="D17" s="13" t="str"/>
      <x:c r="E17" s="13" t="str"/>
      <x:c r="F17" s="16" t="n">
        <x:v>35</x:v>
      </x:c>
      <x:c r="G17" s="18" t="n">
        <x:v>2</x:v>
      </x:c>
      <x:c r="H17" s="16" t="n">
        <x:v>1.2</x:v>
      </x:c>
      <x:c r="I17" s="18" t="n">
        <x:v>227</x:v>
      </x:c>
      <x:c r="J17" s="16" t="n">
        <x:f>F17-I17</x:f>
        <x:v>-192</x:v>
      </x:c>
      <x:c r="K17" s="13" t="str">
        <x:f>IF(F17&lt;=I17,"Within takt","Above takt")</x:f>
        <x:v>Within takt</x:v>
      </x:c>
    </x:row>
    <x:row r="18" ht="15" hidden="0" customHeight="1">
      <x:c r="A18" s="13" t="n">
        <x:v>17</x:v>
      </x:c>
      <x:c r="B18" s="13" t="str">
        <x:v>ASSEMBLY</x:v>
      </x:c>
      <x:c r="C18" s="13" t="str">
        <x:v>Assy welding -stage 2 (Welder)</x:v>
      </x:c>
      <x:c r="D18" s="13" t="str"/>
      <x:c r="E18" s="13" t="str"/>
      <x:c r="F18" s="16" t="n">
        <x:v>90</x:v>
      </x:c>
      <x:c r="G18" s="18" t="n">
        <x:v>2</x:v>
      </x:c>
      <x:c r="H18" s="16" t="n">
        <x:v>3</x:v>
      </x:c>
      <x:c r="I18" s="18" t="n">
        <x:v>227</x:v>
      </x:c>
      <x:c r="J18" s="16" t="n">
        <x:f>F18-I18</x:f>
        <x:v>-137</x:v>
      </x:c>
      <x:c r="K18" s="13" t="str">
        <x:f>IF(F18&lt;=I18,"Within takt","Above takt")</x:f>
        <x:v>Within takt</x:v>
      </x:c>
    </x:row>
    <x:row r="19" ht="15" hidden="0" customHeight="1">
      <x:c r="A19" s="13" t="n">
        <x:v>18</x:v>
      </x:c>
      <x:c r="B19" s="13" t="str">
        <x:v>ASSEMBLY</x:v>
      </x:c>
      <x:c r="C19" s="13" t="str">
        <x:v>Assy fitup -stage 3 (Bed fitup) (Fitter)</x:v>
      </x:c>
      <x:c r="D19" s="13" t="str"/>
      <x:c r="E19" s="13" t="str"/>
      <x:c r="F19" s="16" t="n">
        <x:v>90</x:v>
      </x:c>
      <x:c r="G19" s="18" t="n">
        <x:v>1</x:v>
      </x:c>
      <x:c r="H19" s="16" t="n">
        <x:v>1.5</x:v>
      </x:c>
      <x:c r="I19" s="18" t="n">
        <x:v>227</x:v>
      </x:c>
      <x:c r="J19" s="16" t="n">
        <x:f>F19-I19</x:f>
        <x:v>-137</x:v>
      </x:c>
      <x:c r="K19" s="13" t="str">
        <x:f>IF(F19&lt;=I19,"Within takt","Above takt")</x:f>
        <x:v>Within takt</x:v>
      </x:c>
    </x:row>
    <x:row r="20" ht="15" hidden="0" customHeight="1">
      <x:c r="A20" s="13" t="n">
        <x:v>19</x:v>
      </x:c>
      <x:c r="B20" s="13" t="str">
        <x:v>ASSEMBLY</x:v>
      </x:c>
      <x:c r="C20" s="13" t="str">
        <x:v>Assy cleaning &amp; FW (Grinder)</x:v>
      </x:c>
      <x:c r="D20" s="13" t="str"/>
      <x:c r="E20" s="13" t="str"/>
      <x:c r="F20" s="16" t="n">
        <x:v>160</x:v>
      </x:c>
      <x:c r="G20" s="18" t="n">
        <x:v>15</x:v>
      </x:c>
      <x:c r="H20" s="16" t="n">
        <x:v>40</x:v>
      </x:c>
      <x:c r="I20" s="18" t="n">
        <x:v>227</x:v>
      </x:c>
      <x:c r="J20" s="16" t="n">
        <x:f>F20-I20</x:f>
        <x:v>-67</x:v>
      </x:c>
      <x:c r="K20" s="13" t="str">
        <x:f>IF(F20&lt;=I20,"Within takt","Above takt")</x:f>
        <x:v>Within takt</x:v>
      </x:c>
    </x:row>
    <x:row r="21" ht="15" hidden="0" customHeight="1">
      <x:c r="A21" s="13" t="n">
        <x:v>20</x:v>
      </x:c>
      <x:c r="B21" s="13" t="str">
        <x:v>ASSEMBLY</x:v>
      </x:c>
      <x:c r="C21" s="13" t="str">
        <x:v>PDI (Fitter)</x:v>
      </x:c>
      <x:c r="D21" s="13" t="str"/>
      <x:c r="E21" s="13" t="str"/>
      <x:c r="F21" s="16" t="n">
        <x:v>109</x:v>
      </x:c>
      <x:c r="G21" s="18" t="n">
        <x:v>3</x:v>
      </x:c>
      <x:c r="H21" s="16" t="n">
        <x:v>5.4</x:v>
      </x:c>
      <x:c r="I21" s="18" t="n">
        <x:v>227</x:v>
      </x:c>
      <x:c r="J21" s="16" t="n">
        <x:f>F21-I21</x:f>
        <x:v>-118</x:v>
      </x:c>
      <x:c r="K21" s="13" t="str">
        <x:f>IF(F21&lt;=I21,"Within takt","Above takt")</x:f>
        <x:v>Within takt</x:v>
      </x:c>
    </x:row>
    <x:row r="22" ht="15" hidden="0" customHeight="1">
      <x:c r="A22" s="13" t="n">
        <x:v>21</x:v>
      </x:c>
      <x:c r="B22" s="13" t="str">
        <x:v>RF3</x:v>
      </x:c>
      <x:c r="C22" s="13" t="str">
        <x:v>Total</x:v>
      </x:c>
      <x:c r="D22" s="13" t="str"/>
      <x:c r="E22" s="13" t="str"/>
      <x:c r="F22" s="16" t="n">
        <x:v>210</x:v>
      </x:c>
      <x:c r="G22" s="18" t="n">
        <x:v>1</x:v>
      </x:c>
      <x:c r="H22" s="16" t="n">
        <x:v>3.5</x:v>
      </x:c>
      <x:c r="I22" s="18" t="n">
        <x:v>227</x:v>
      </x:c>
      <x:c r="J22" s="16" t="n">
        <x:f>F22-I22</x:f>
        <x:v>-17</x:v>
      </x:c>
      <x:c r="K22" s="13" t="str">
        <x:f>IF(F22&lt;=I22,"Within takt","Above takt")</x:f>
        <x:v>Within takt</x:v>
      </x:c>
    </x:row>
    <x:row r="23" ht="15" hidden="0" customHeight="1">
      <x:c r="A23" s="13" t="n">
        <x:v>22</x:v>
      </x:c>
      <x:c r="B23" s="13" t="str">
        <x:v>RF3</x:v>
      </x:c>
      <x:c r="C23" s="13" t="str">
        <x:v>1st Stage Node Robot welding (Robo Operator)</x:v>
      </x:c>
      <x:c r="D23" s="13" t="str"/>
      <x:c r="E23" s="13" t="str"/>
      <x:c r="F23" s="16" t="n">
        <x:v>120</x:v>
      </x:c>
      <x:c r="G23" s="18" t="n">
        <x:v>1</x:v>
      </x:c>
      <x:c r="H23" s="16" t="n">
        <x:v>2</x:v>
      </x:c>
      <x:c r="I23" s="18" t="n">
        <x:v>227</x:v>
      </x:c>
      <x:c r="J23" s="16" t="n">
        <x:f>F23-I23</x:f>
        <x:v>-107</x:v>
      </x:c>
      <x:c r="K23" s="13" t="str">
        <x:f>IF(F23&lt;=I23,"Within takt","Above takt")</x:f>
        <x:v>Within takt</x:v>
      </x:c>
    </x:row>
    <x:row r="24" ht="15" hidden="0" customHeight="1">
      <x:c r="A24" s="13" t="n">
        <x:v>23</x:v>
      </x:c>
      <x:c r="B24" s="13" t="str">
        <x:v>RF3</x:v>
      </x:c>
      <x:c r="C24" s="13" t="str">
        <x:v>Node 2nd Stage Robot Welding (Robo Operator)</x:v>
      </x:c>
      <x:c r="D24" s="13" t="str"/>
      <x:c r="E24" s="13" t="str"/>
      <x:c r="F24" s="16" t="n">
        <x:v>90</x:v>
      </x:c>
      <x:c r="G24" s="18" t="n">
        <x:v>1</x:v>
      </x:c>
      <x:c r="H24" s="16" t="n">
        <x:v>1.5</x:v>
      </x:c>
      <x:c r="I24" s="18" t="n">
        <x:v>227</x:v>
      </x:c>
      <x:c r="J24" s="16" t="n">
        <x:f>F24-I24</x:f>
        <x:v>-137</x:v>
      </x:c>
      <x:c r="K24" s="13" t="str">
        <x:f>IF(F24&lt;=I24,"Within takt","Above takt")</x:f>
        <x:v>Within takt</x:v>
      </x:c>
    </x:row>
    <x:row r="25" ht="15" hidden="0" customHeight="1">
      <x:c r="A25" s="13" t="n">
        <x:v>24</x:v>
      </x:c>
      <x:c r="B25" s="13" t="str">
        <x:v>RA4</x:v>
      </x:c>
      <x:c r="C25" s="13" t="str">
        <x:v>Total</x:v>
      </x:c>
      <x:c r="D25" s="13" t="str"/>
      <x:c r="E25" s="13" t="str"/>
      <x:c r="F25" s="16" t="n">
        <x:v>223</x:v>
      </x:c>
      <x:c r="G25" s="18" t="n">
        <x:v>1</x:v>
      </x:c>
      <x:c r="H25" s="16" t="n">
        <x:v>3.7</x:v>
      </x:c>
      <x:c r="I25" s="18" t="n">
        <x:v>227</x:v>
      </x:c>
      <x:c r="J25" s="16" t="n">
        <x:f>F25-I25</x:f>
        <x:v>-4</x:v>
      </x:c>
      <x:c r="K25" s="13" t="str">
        <x:f>IF(F25&lt;=I25,"Within takt","Above takt")</x:f>
        <x:v>Within takt</x:v>
      </x:c>
    </x:row>
    <x:row r="26" ht="15" hidden="0" customHeight="1">
      <x:c r="A26" s="13" t="n">
        <x:v>25</x:v>
      </x:c>
      <x:c r="B26" s="13" t="str">
        <x:v>RA4</x:v>
      </x:c>
      <x:c r="C26" s="13" t="str">
        <x:v>I Beam Robot welding (Robo Operator)</x:v>
      </x:c>
      <x:c r="D26" s="13" t="str"/>
      <x:c r="E26" s="13" t="str"/>
      <x:c r="F26" s="16" t="n">
        <x:v>175</x:v>
      </x:c>
      <x:c r="G26" s="18" t="n">
        <x:v>1</x:v>
      </x:c>
      <x:c r="H26" s="16" t="n">
        <x:v>2.9</x:v>
      </x:c>
      <x:c r="I26" s="18" t="n">
        <x:v>227</x:v>
      </x:c>
      <x:c r="J26" s="16" t="n">
        <x:f>F26-I26</x:f>
        <x:v>-52</x:v>
      </x:c>
      <x:c r="K26" s="13" t="str">
        <x:f>IF(F26&lt;=I26,"Within takt","Above takt")</x:f>
        <x:v>Within takt</x:v>
      </x:c>
    </x:row>
    <x:row r="27" ht="15" hidden="0" customHeight="1">
      <x:c r="A27" s="13" t="n">
        <x:v>26</x:v>
      </x:c>
      <x:c r="B27" s="13" t="str">
        <x:v>RF0 &amp; RF5</x:v>
      </x:c>
      <x:c r="C27" s="13" t="str">
        <x:v>Front Node Robot Welding (Robo Operator)</x:v>
      </x:c>
      <x:c r="D27" s="13" t="str"/>
      <x:c r="E27" s="13" t="str"/>
      <x:c r="F27" s="16" t="n">
        <x:v>48</x:v>
      </x:c>
      <x:c r="G27" s="18" t="n">
        <x:v>1</x:v>
      </x:c>
      <x:c r="H27" s="16" t="n">
        <x:v>0.8</x:v>
      </x:c>
      <x:c r="I27" s="18" t="n">
        <x:v>227</x:v>
      </x:c>
      <x:c r="J27" s="16" t="n">
        <x:f>F27-I27</x:f>
        <x:v>-179</x:v>
      </x:c>
      <x:c r="K27" s="13" t="str">
        <x:f>IF(F27&lt;=I27,"Within takt","Above takt")</x:f>
        <x:v>Within takt</x:v>
      </x:c>
    </x:row>
    <x:row r="28" ht="15" hidden="0" customHeight="1">
      <x:c r="A28" s="13" t="n">
        <x:v>27</x:v>
      </x:c>
      <x:c r="B28" s="13" t="str">
        <x:v>RF0 &amp; RF5</x:v>
      </x:c>
      <x:c r="C28" s="13" t="str">
        <x:v>Total</x:v>
      </x:c>
      <x:c r="D28" s="13" t="str"/>
      <x:c r="E28" s="13" t="str"/>
      <x:c r="F28" s="16" t="n">
        <x:v>202</x:v>
      </x:c>
      <x:c r="G28" s="18" t="n">
        <x:v>1</x:v>
      </x:c>
      <x:c r="H28" s="16" t="n">
        <x:v>3.4</x:v>
      </x:c>
      <x:c r="I28" s="18" t="n">
        <x:v>227</x:v>
      </x:c>
      <x:c r="J28" s="16" t="n">
        <x:f>F28-I28</x:f>
        <x:v>-25</x:v>
      </x:c>
      <x:c r="K28" s="13" t="str">
        <x:f>IF(F28&lt;=I28,"Within takt","Above takt")</x:f>
        <x:v>Within takt</x:v>
      </x:c>
    </x:row>
    <x:row r="29" ht="15" hidden="0" customHeight="1">
      <x:c r="A29" s="13" t="n">
        <x:v>28</x:v>
      </x:c>
      <x:c r="B29" s="13" t="str">
        <x:v>RA9</x:v>
      </x:c>
      <x:c r="C29" s="13" t="str">
        <x:v>Assy Robot welding-stage 3 (Robo Welder)</x:v>
      </x:c>
      <x:c r="D29" s="13" t="str"/>
      <x:c r="E29" s="13" t="str"/>
      <x:c r="F29" s="16" t="n">
        <x:v>120</x:v>
      </x:c>
      <x:c r="G29" s="18" t="n">
        <x:v>1</x:v>
      </x:c>
      <x:c r="H29" s="16" t="n">
        <x:v>2</x:v>
      </x:c>
      <x:c r="I29" s="18" t="n">
        <x:v>227</x:v>
      </x:c>
      <x:c r="J29" s="16" t="n">
        <x:f>F29-I29</x:f>
        <x:v>-107</x:v>
      </x:c>
      <x:c r="K29" s="13" t="str">
        <x:f>IF(F29&lt;=I29,"Within takt","Above takt")</x:f>
        <x:v>Within takt</x:v>
      </x:c>
    </x:row>
  </x:sheetData>
  <x:conditionalFormatting sqref="K2:K29">
    <x:cfRule type="expression" dxfId="0" priority="1">
      <x:formula>K2="Above takt"</x:formula>
    </x:cfRule>
    <x:cfRule type="expression" dxfId="1" priority="2">
      <x:formula>K2="Within takt"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c9c8c6fb4c4a48"/>
  </x:tableParts>
</x:worksheet>
</file>